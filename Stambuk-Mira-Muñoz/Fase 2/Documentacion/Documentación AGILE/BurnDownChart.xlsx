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180FF134-D77F-44E9-8C61-1A07AB9AC46F}" xr6:coauthVersionLast="47" xr6:coauthVersionMax="47" xr10:uidLastSave="{00000000-0000-0000-0000-000000000000}"/>
  <bookViews>
    <workbookView xWindow="-120" yWindow="-120" windowWidth="29040" windowHeight="15720" xr2:uid="{4E91A514-C696-487D-9F26-4AE77FE3024D}"/>
  </bookViews>
  <sheets>
    <sheet name="Historias de usu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6" i="1"/>
  <c r="I7" i="1" s="1"/>
  <c r="I8" i="1" s="1"/>
  <c r="I9" i="1" s="1"/>
  <c r="I10" i="1" s="1"/>
  <c r="I11" i="1" s="1"/>
  <c r="I12" i="1" s="1"/>
  <c r="I13" i="1" s="1"/>
  <c r="I14" i="1" s="1"/>
  <c r="I5" i="1"/>
  <c r="I4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</calcChain>
</file>

<file path=xl/sharedStrings.xml><?xml version="1.0" encoding="utf-8"?>
<sst xmlns="http://schemas.openxmlformats.org/spreadsheetml/2006/main" count="65" uniqueCount="64">
  <si>
    <t>Puntos de estimacion total</t>
  </si>
  <si>
    <t>ID_US</t>
  </si>
  <si>
    <t>Historia de usuario</t>
  </si>
  <si>
    <t>Fecha Finalización estimada</t>
  </si>
  <si>
    <t>Fecha Finalización Real</t>
  </si>
  <si>
    <t>Estimacion</t>
  </si>
  <si>
    <t>Estimación Restante ideal</t>
  </si>
  <si>
    <t>Estimacion restante real</t>
  </si>
  <si>
    <t>US001</t>
  </si>
  <si>
    <t>Detectar Caidas de manera automatica</t>
  </si>
  <si>
    <t>-</t>
  </si>
  <si>
    <t>US002</t>
  </si>
  <si>
    <t>Obtener ubicación actual del usuario</t>
  </si>
  <si>
    <t> 11-09-2025</t>
  </si>
  <si>
    <t>US003</t>
  </si>
  <si>
    <t>Generar modelo del dispositivo utilizando una impresora 3D</t>
  </si>
  <si>
    <t>US004</t>
  </si>
  <si>
    <t>Iniciar sesión</t>
  </si>
  <si>
    <t>US005</t>
  </si>
  <si>
    <t>Crear cuenta</t>
  </si>
  <si>
    <t>US006</t>
  </si>
  <si>
    <t>Generar modelo del dispositivo mas comodo</t>
  </si>
  <si>
    <t>US007</t>
  </si>
  <si>
    <t>Implementar conexion a internet al dispositivo</t>
  </si>
  <si>
    <t>US008</t>
  </si>
  <si>
    <t>Recopilar datos de caidas de los usuarios</t>
  </si>
  <si>
    <t>US009</t>
  </si>
  <si>
    <t>Mostrar ubicación actual</t>
  </si>
  <si>
    <t>US010</t>
  </si>
  <si>
    <t>Mostrar dirección actual</t>
  </si>
  <si>
    <t>US011</t>
  </si>
  <si>
    <t>Verificar Cuenta</t>
  </si>
  <si>
    <t>US012</t>
  </si>
  <si>
    <t>Generar funcionalidades/configuraciones externas</t>
  </si>
  <si>
    <t>US013</t>
  </si>
  <si>
    <t>Mostrar estado de bateria</t>
  </si>
  <si>
    <t>US014</t>
  </si>
  <si>
    <t>Mostrar estado de conexión</t>
  </si>
  <si>
    <t>US015</t>
  </si>
  <si>
    <t>Mostrar una pequeña visualización de mapa</t>
  </si>
  <si>
    <t>US016</t>
  </si>
  <si>
    <t>Crear Recordatorio</t>
  </si>
  <si>
    <t>US017</t>
  </si>
  <si>
    <t>Editar Recordatorio</t>
  </si>
  <si>
    <t>US018</t>
  </si>
  <si>
    <t>Vincular dispositivo a la aplicación movil</t>
  </si>
  <si>
    <t>US019</t>
  </si>
  <si>
    <t>Generar que el positivo sea mas barato/accesible a los usuario</t>
  </si>
  <si>
    <t>US020</t>
  </si>
  <si>
    <t>Mostrar ultimas notificaciones</t>
  </si>
  <si>
    <t>US021</t>
  </si>
  <si>
    <t>Mostrar mapa zona segura</t>
  </si>
  <si>
    <t>US022</t>
  </si>
  <si>
    <t>Activar Zona segura</t>
  </si>
  <si>
    <t>US023</t>
  </si>
  <si>
    <t>Editar Zona segura</t>
  </si>
  <si>
    <t>US024</t>
  </si>
  <si>
    <t>Fijar horario zona segura</t>
  </si>
  <si>
    <t>US025</t>
  </si>
  <si>
    <t>Alertar Caida</t>
  </si>
  <si>
    <t>US026</t>
  </si>
  <si>
    <t>Boton de urgencia</t>
  </si>
  <si>
    <t>US027</t>
  </si>
  <si>
    <t>Porcentaje de 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</si>
</sst>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222428"/>
      <name val="Noto Sans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2" fillId="0" borderId="3" xfId="0" applyFont="1" applyBorder="1"/>
    <xf numFmtId="0" fontId="0" fillId="0" borderId="12" xfId="0" applyBorder="1"/>
    <xf numFmtId="0" fontId="0" fillId="0" borderId="5" xfId="0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14" fontId="5" fillId="0" borderId="7" xfId="0" applyNumberFormat="1" applyFont="1" applyBorder="1" applyAlignment="1">
      <alignment horizontal="center"/>
    </xf>
    <xf numFmtId="0" fontId="0" fillId="0" borderId="15" xfId="0" applyBorder="1"/>
    <xf numFmtId="0" fontId="4" fillId="0" borderId="16" xfId="0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Grafico</a:t>
            </a:r>
            <a:r>
              <a:rPr lang="es-CL" baseline="0"/>
              <a:t> BurnDownChart</a:t>
            </a:r>
          </a:p>
          <a:p>
            <a:pPr>
              <a:defRPr/>
            </a:pP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Estimacion restante ideal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'Historias de usuario'!$H$3:$H$20</c:f>
              <c:numCache>
                <c:formatCode>General</c:formatCode>
                <c:ptCount val="18"/>
                <c:pt idx="0">
                  <c:v>166</c:v>
                </c:pt>
                <c:pt idx="1">
                  <c:v>158</c:v>
                </c:pt>
                <c:pt idx="2">
                  <c:v>153</c:v>
                </c:pt>
                <c:pt idx="3">
                  <c:v>150</c:v>
                </c:pt>
                <c:pt idx="4">
                  <c:v>148</c:v>
                </c:pt>
                <c:pt idx="5">
                  <c:v>140</c:v>
                </c:pt>
                <c:pt idx="6">
                  <c:v>127</c:v>
                </c:pt>
                <c:pt idx="7">
                  <c:v>119</c:v>
                </c:pt>
                <c:pt idx="8">
                  <c:v>107</c:v>
                </c:pt>
                <c:pt idx="9">
                  <c:v>95</c:v>
                </c:pt>
                <c:pt idx="10">
                  <c:v>93</c:v>
                </c:pt>
                <c:pt idx="11">
                  <c:v>85</c:v>
                </c:pt>
                <c:pt idx="12">
                  <c:v>80</c:v>
                </c:pt>
                <c:pt idx="13">
                  <c:v>77</c:v>
                </c:pt>
                <c:pt idx="14">
                  <c:v>67</c:v>
                </c:pt>
                <c:pt idx="15">
                  <c:v>64</c:v>
                </c:pt>
                <c:pt idx="16">
                  <c:v>61</c:v>
                </c:pt>
                <c:pt idx="1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9-4E32-97C5-DB459C565CC0}"/>
            </c:ext>
          </c:extLst>
        </c:ser>
        <c:ser>
          <c:idx val="1"/>
          <c:order val="1"/>
          <c:tx>
            <c:v>Estimación restante real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'Historias de usuario'!$I$3:$I$20</c:f>
              <c:numCache>
                <c:formatCode>General</c:formatCode>
                <c:ptCount val="18"/>
                <c:pt idx="1">
                  <c:v>179</c:v>
                </c:pt>
                <c:pt idx="2">
                  <c:v>174</c:v>
                </c:pt>
                <c:pt idx="3">
                  <c:v>171</c:v>
                </c:pt>
                <c:pt idx="4">
                  <c:v>169</c:v>
                </c:pt>
                <c:pt idx="5">
                  <c:v>161</c:v>
                </c:pt>
                <c:pt idx="6">
                  <c:v>148</c:v>
                </c:pt>
                <c:pt idx="7">
                  <c:v>140</c:v>
                </c:pt>
                <c:pt idx="8">
                  <c:v>128</c:v>
                </c:pt>
                <c:pt idx="9">
                  <c:v>116</c:v>
                </c:pt>
                <c:pt idx="10">
                  <c:v>114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9-4E32-97C5-DB459C565C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57317919"/>
        <c:axId val="1357320319"/>
      </c:lineChart>
      <c:catAx>
        <c:axId val="135731791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57320319"/>
        <c:crosses val="autoZero"/>
        <c:auto val="1"/>
        <c:lblAlgn val="ctr"/>
        <c:lblOffset val="100"/>
        <c:noMultiLvlLbl val="0"/>
      </c:catAx>
      <c:valAx>
        <c:axId val="135732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Punto de estimación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5731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752474</xdr:colOff>
      <xdr:row>4</xdr:row>
      <xdr:rowOff>4761</xdr:rowOff>
    </xdr:from>
    <xdr:to>
      <xdr:col>16</xdr:col>
      <xdr:colOff>742949</xdr:colOff>
      <xdr:row>18</xdr:row>
      <xdr:rowOff>200024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1FF1F5-96F2-8D36-AB06-E21CAC661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5462-FCFF-46F2-A9F2-7FFE7561C907}">
  <dimension ref="C1:I30"/>
  <sheetViews>
    <sheetView tabSelected="1" topLeftCell="D5" workbookViewId="0">
      <selection activeCell="K28" sqref="K28"/>
    </sheetView>
  </sheetViews>
  <sheetFormatPr defaultColWidth="11.42578125" defaultRowHeight="15"/>
  <cols>
    <col min="4" max="4" width="39.7109375" bestFit="1" customWidth="1"/>
    <col min="5" max="5" width="26.7109375" bestFit="1" customWidth="1"/>
    <col min="6" max="6" width="22.140625" bestFit="1" customWidth="1"/>
    <col min="7" max="7" width="24" bestFit="1" customWidth="1"/>
    <col min="8" max="8" width="24.7109375" bestFit="1" customWidth="1"/>
    <col min="9" max="9" width="22.5703125" bestFit="1" customWidth="1"/>
  </cols>
  <sheetData>
    <row r="1" spans="3:9" ht="15.75" thickBot="1">
      <c r="H1" s="25" t="s">
        <v>0</v>
      </c>
      <c r="I1" s="26">
        <v>187</v>
      </c>
    </row>
    <row r="2" spans="3:9" ht="15.75" thickBot="1">
      <c r="C2" s="1" t="s">
        <v>1</v>
      </c>
      <c r="D2" s="4" t="s">
        <v>2</v>
      </c>
      <c r="E2" s="6" t="s">
        <v>3</v>
      </c>
      <c r="F2" s="15" t="s">
        <v>4</v>
      </c>
      <c r="G2" s="20" t="s">
        <v>5</v>
      </c>
      <c r="H2" s="24" t="s">
        <v>6</v>
      </c>
      <c r="I2" s="6" t="s">
        <v>7</v>
      </c>
    </row>
    <row r="3" spans="3:9" ht="16.5">
      <c r="C3" s="2" t="s">
        <v>8</v>
      </c>
      <c r="D3" s="5" t="s">
        <v>9</v>
      </c>
      <c r="E3" s="10">
        <v>45908</v>
      </c>
      <c r="F3" s="16" t="s">
        <v>10</v>
      </c>
      <c r="G3" s="21">
        <v>21</v>
      </c>
      <c r="H3" s="27">
        <f>I1-G3</f>
        <v>166</v>
      </c>
      <c r="I3" s="28"/>
    </row>
    <row r="4" spans="3:9">
      <c r="C4" s="3" t="s">
        <v>11</v>
      </c>
      <c r="D4" s="13" t="s">
        <v>12</v>
      </c>
      <c r="E4" s="8" t="s">
        <v>13</v>
      </c>
      <c r="F4" s="17">
        <v>45913</v>
      </c>
      <c r="G4" s="22">
        <v>8</v>
      </c>
      <c r="H4" s="29">
        <f>H3-G4</f>
        <v>158</v>
      </c>
      <c r="I4" s="30">
        <f>I1-G4</f>
        <v>179</v>
      </c>
    </row>
    <row r="5" spans="3:9" ht="30">
      <c r="C5" s="2" t="s">
        <v>14</v>
      </c>
      <c r="D5" s="13" t="s">
        <v>15</v>
      </c>
      <c r="E5" s="11">
        <v>45914</v>
      </c>
      <c r="F5" s="17">
        <v>45915</v>
      </c>
      <c r="G5" s="22">
        <v>5</v>
      </c>
      <c r="H5" s="29">
        <f>H4-G5</f>
        <v>153</v>
      </c>
      <c r="I5" s="30">
        <f>I4-G5</f>
        <v>174</v>
      </c>
    </row>
    <row r="6" spans="3:9">
      <c r="C6" s="3" t="s">
        <v>16</v>
      </c>
      <c r="D6" s="13" t="s">
        <v>17</v>
      </c>
      <c r="E6" s="11">
        <v>45918</v>
      </c>
      <c r="F6" s="17">
        <v>45917</v>
      </c>
      <c r="G6" s="22">
        <v>3</v>
      </c>
      <c r="H6" s="29">
        <f t="shared" ref="H6:H28" si="0">H5-G6</f>
        <v>150</v>
      </c>
      <c r="I6" s="30">
        <f t="shared" ref="I6:I14" si="1">I5-G6</f>
        <v>171</v>
      </c>
    </row>
    <row r="7" spans="3:9">
      <c r="C7" s="2" t="s">
        <v>18</v>
      </c>
      <c r="D7" s="13" t="s">
        <v>19</v>
      </c>
      <c r="E7" s="11">
        <v>45921</v>
      </c>
      <c r="F7" s="17">
        <v>45920</v>
      </c>
      <c r="G7" s="22">
        <v>2</v>
      </c>
      <c r="H7" s="29">
        <f t="shared" si="0"/>
        <v>148</v>
      </c>
      <c r="I7" s="30">
        <f t="shared" si="1"/>
        <v>169</v>
      </c>
    </row>
    <row r="8" spans="3:9" ht="30">
      <c r="C8" s="2" t="s">
        <v>20</v>
      </c>
      <c r="D8" s="13" t="s">
        <v>21</v>
      </c>
      <c r="E8" s="11">
        <v>45922</v>
      </c>
      <c r="F8" s="17">
        <v>45924</v>
      </c>
      <c r="G8" s="22">
        <v>8</v>
      </c>
      <c r="H8" s="29">
        <f t="shared" si="0"/>
        <v>140</v>
      </c>
      <c r="I8" s="30">
        <f t="shared" si="1"/>
        <v>161</v>
      </c>
    </row>
    <row r="9" spans="3:9" ht="30">
      <c r="C9" s="3" t="s">
        <v>22</v>
      </c>
      <c r="D9" s="13" t="s">
        <v>23</v>
      </c>
      <c r="E9" s="11">
        <v>45925</v>
      </c>
      <c r="F9" s="17">
        <v>45926</v>
      </c>
      <c r="G9" s="22">
        <v>13</v>
      </c>
      <c r="H9" s="29">
        <f t="shared" si="0"/>
        <v>127</v>
      </c>
      <c r="I9" s="30">
        <f t="shared" si="1"/>
        <v>148</v>
      </c>
    </row>
    <row r="10" spans="3:9">
      <c r="C10" s="2" t="s">
        <v>24</v>
      </c>
      <c r="D10" s="13" t="s">
        <v>25</v>
      </c>
      <c r="E10" s="11">
        <v>45927</v>
      </c>
      <c r="F10" s="17">
        <v>45931</v>
      </c>
      <c r="G10" s="22">
        <v>8</v>
      </c>
      <c r="H10" s="29">
        <f t="shared" si="0"/>
        <v>119</v>
      </c>
      <c r="I10" s="30">
        <f t="shared" si="1"/>
        <v>140</v>
      </c>
    </row>
    <row r="11" spans="3:9">
      <c r="C11" s="3" t="s">
        <v>26</v>
      </c>
      <c r="D11" s="13" t="s">
        <v>27</v>
      </c>
      <c r="E11" s="12">
        <v>45930</v>
      </c>
      <c r="F11" s="17">
        <v>45933</v>
      </c>
      <c r="G11" s="22">
        <v>12</v>
      </c>
      <c r="H11" s="29">
        <f t="shared" si="0"/>
        <v>107</v>
      </c>
      <c r="I11" s="30">
        <f t="shared" si="1"/>
        <v>128</v>
      </c>
    </row>
    <row r="12" spans="3:9">
      <c r="C12" s="2" t="s">
        <v>28</v>
      </c>
      <c r="D12" s="13" t="s">
        <v>29</v>
      </c>
      <c r="E12" s="11">
        <v>45932</v>
      </c>
      <c r="F12" s="17">
        <v>45935</v>
      </c>
      <c r="G12" s="22">
        <v>12</v>
      </c>
      <c r="H12" s="29">
        <f t="shared" si="0"/>
        <v>95</v>
      </c>
      <c r="I12" s="30">
        <f t="shared" si="1"/>
        <v>116</v>
      </c>
    </row>
    <row r="13" spans="3:9">
      <c r="C13" s="2" t="s">
        <v>30</v>
      </c>
      <c r="D13" s="13" t="s">
        <v>31</v>
      </c>
      <c r="E13" s="11">
        <v>45935</v>
      </c>
      <c r="F13" s="17">
        <v>45935</v>
      </c>
      <c r="G13" s="22">
        <v>2</v>
      </c>
      <c r="H13" s="29">
        <f t="shared" si="0"/>
        <v>93</v>
      </c>
      <c r="I13" s="30">
        <f t="shared" si="1"/>
        <v>114</v>
      </c>
    </row>
    <row r="14" spans="3:9" ht="30">
      <c r="C14" s="3" t="s">
        <v>32</v>
      </c>
      <c r="D14" s="13" t="s">
        <v>33</v>
      </c>
      <c r="E14" s="14">
        <v>45936</v>
      </c>
      <c r="F14" s="17">
        <v>45937</v>
      </c>
      <c r="G14" s="22">
        <v>8</v>
      </c>
      <c r="H14" s="29">
        <f t="shared" si="0"/>
        <v>85</v>
      </c>
      <c r="I14" s="30">
        <f t="shared" si="1"/>
        <v>106</v>
      </c>
    </row>
    <row r="15" spans="3:9" ht="16.5">
      <c r="C15" s="2" t="s">
        <v>34</v>
      </c>
      <c r="D15" s="13" t="s">
        <v>35</v>
      </c>
      <c r="E15" s="14">
        <v>45938</v>
      </c>
      <c r="F15" s="18"/>
      <c r="G15" s="22">
        <v>5</v>
      </c>
      <c r="H15" s="29">
        <f t="shared" si="0"/>
        <v>80</v>
      </c>
      <c r="I15" s="30"/>
    </row>
    <row r="16" spans="3:9" ht="16.5">
      <c r="C16" s="3" t="s">
        <v>36</v>
      </c>
      <c r="D16" s="13" t="s">
        <v>37</v>
      </c>
      <c r="E16" s="14">
        <v>45940</v>
      </c>
      <c r="F16" s="18"/>
      <c r="G16" s="22">
        <v>3</v>
      </c>
      <c r="H16" s="29">
        <f t="shared" si="0"/>
        <v>77</v>
      </c>
      <c r="I16" s="30"/>
    </row>
    <row r="17" spans="3:9" ht="30">
      <c r="C17" s="2" t="s">
        <v>38</v>
      </c>
      <c r="D17" s="13" t="s">
        <v>39</v>
      </c>
      <c r="E17" s="14">
        <v>45942</v>
      </c>
      <c r="F17" s="18"/>
      <c r="G17" s="22">
        <v>10</v>
      </c>
      <c r="H17" s="29">
        <f t="shared" si="0"/>
        <v>67</v>
      </c>
      <c r="I17" s="30"/>
    </row>
    <row r="18" spans="3:9" ht="16.5">
      <c r="C18" s="3" t="s">
        <v>40</v>
      </c>
      <c r="D18" s="13" t="s">
        <v>41</v>
      </c>
      <c r="E18" s="14">
        <v>45945</v>
      </c>
      <c r="F18" s="18"/>
      <c r="G18" s="22">
        <v>3</v>
      </c>
      <c r="H18" s="29">
        <f t="shared" si="0"/>
        <v>64</v>
      </c>
      <c r="I18" s="30"/>
    </row>
    <row r="19" spans="3:9" ht="16.5">
      <c r="C19" s="2" t="s">
        <v>42</v>
      </c>
      <c r="D19" s="13" t="s">
        <v>43</v>
      </c>
      <c r="E19" s="14">
        <v>45947</v>
      </c>
      <c r="F19" s="18"/>
      <c r="G19" s="22">
        <v>3</v>
      </c>
      <c r="H19" s="29">
        <f t="shared" si="0"/>
        <v>61</v>
      </c>
      <c r="I19" s="30"/>
    </row>
    <row r="20" spans="3:9" ht="16.5">
      <c r="C20" s="2" t="s">
        <v>44</v>
      </c>
      <c r="D20" s="13" t="s">
        <v>45</v>
      </c>
      <c r="E20" s="14">
        <v>45949</v>
      </c>
      <c r="F20" s="18"/>
      <c r="G20" s="22">
        <v>5</v>
      </c>
      <c r="H20" s="29">
        <f t="shared" si="0"/>
        <v>56</v>
      </c>
      <c r="I20" s="30"/>
    </row>
    <row r="21" spans="3:9" ht="30">
      <c r="C21" s="3" t="s">
        <v>46</v>
      </c>
      <c r="D21" s="13" t="s">
        <v>47</v>
      </c>
      <c r="E21" s="8"/>
      <c r="F21" s="18"/>
      <c r="G21" s="22">
        <v>13</v>
      </c>
      <c r="H21" s="29">
        <f t="shared" si="0"/>
        <v>43</v>
      </c>
      <c r="I21" s="30"/>
    </row>
    <row r="22" spans="3:9">
      <c r="C22" s="2" t="s">
        <v>48</v>
      </c>
      <c r="D22" s="13" t="s">
        <v>49</v>
      </c>
      <c r="E22" s="8"/>
      <c r="F22" s="18"/>
      <c r="G22" s="22">
        <v>5</v>
      </c>
      <c r="H22" s="29">
        <f t="shared" si="0"/>
        <v>38</v>
      </c>
      <c r="I22" s="30"/>
    </row>
    <row r="23" spans="3:9">
      <c r="C23" s="3" t="s">
        <v>50</v>
      </c>
      <c r="D23" s="13" t="s">
        <v>51</v>
      </c>
      <c r="E23" s="8"/>
      <c r="F23" s="18"/>
      <c r="G23" s="22">
        <v>3</v>
      </c>
      <c r="H23" s="29">
        <f t="shared" si="0"/>
        <v>35</v>
      </c>
      <c r="I23" s="30"/>
    </row>
    <row r="24" spans="3:9">
      <c r="C24" s="2" t="s">
        <v>52</v>
      </c>
      <c r="D24" s="13" t="s">
        <v>53</v>
      </c>
      <c r="E24" s="8"/>
      <c r="F24" s="18"/>
      <c r="G24" s="22">
        <v>5</v>
      </c>
      <c r="H24" s="29">
        <f t="shared" si="0"/>
        <v>30</v>
      </c>
      <c r="I24" s="30"/>
    </row>
    <row r="25" spans="3:9">
      <c r="C25" s="2" t="s">
        <v>54</v>
      </c>
      <c r="D25" s="13" t="s">
        <v>55</v>
      </c>
      <c r="E25" s="8"/>
      <c r="F25" s="18"/>
      <c r="G25" s="22">
        <v>5</v>
      </c>
      <c r="H25" s="29">
        <f t="shared" si="0"/>
        <v>25</v>
      </c>
      <c r="I25" s="30"/>
    </row>
    <row r="26" spans="3:9">
      <c r="C26" s="3" t="s">
        <v>56</v>
      </c>
      <c r="D26" s="13" t="s">
        <v>57</v>
      </c>
      <c r="E26" s="8"/>
      <c r="F26" s="18"/>
      <c r="G26" s="22">
        <v>5</v>
      </c>
      <c r="H26" s="29">
        <f t="shared" si="0"/>
        <v>20</v>
      </c>
      <c r="I26" s="30"/>
    </row>
    <row r="27" spans="3:9">
      <c r="C27" s="2" t="s">
        <v>58</v>
      </c>
      <c r="D27" s="13" t="s">
        <v>59</v>
      </c>
      <c r="E27" s="8"/>
      <c r="F27" s="18"/>
      <c r="G27" s="22">
        <v>5</v>
      </c>
      <c r="H27" s="29">
        <f t="shared" si="0"/>
        <v>15</v>
      </c>
      <c r="I27" s="30"/>
    </row>
    <row r="28" spans="3:9">
      <c r="C28" s="3" t="s">
        <v>60</v>
      </c>
      <c r="D28" s="13" t="s">
        <v>61</v>
      </c>
      <c r="E28" s="8"/>
      <c r="F28" s="18"/>
      <c r="G28" s="22">
        <v>5</v>
      </c>
      <c r="H28" s="29">
        <f t="shared" si="0"/>
        <v>10</v>
      </c>
      <c r="I28" s="30"/>
    </row>
    <row r="29" spans="3:9" ht="15.75" thickBot="1">
      <c r="C29" s="2" t="s">
        <v>62</v>
      </c>
      <c r="D29" s="7" t="s">
        <v>61</v>
      </c>
      <c r="E29" s="9"/>
      <c r="F29" s="19"/>
      <c r="G29" s="23">
        <v>10</v>
      </c>
      <c r="H29" s="31">
        <f>H28-G29</f>
        <v>0</v>
      </c>
      <c r="I29" s="32"/>
    </row>
    <row r="30" spans="3:9" ht="15.75" thickBot="1">
      <c r="H30" s="4" t="s">
        <v>63</v>
      </c>
      <c r="I30" s="33">
        <f>ROUND(I14/I1,3)</f>
        <v>0.56699999999999995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mira farias</dc:creator>
  <cp:keywords/>
  <dc:description/>
  <cp:lastModifiedBy>Cindy betzabe Contador Cisterna</cp:lastModifiedBy>
  <cp:revision/>
  <dcterms:created xsi:type="dcterms:W3CDTF">2025-10-12T22:29:19Z</dcterms:created>
  <dcterms:modified xsi:type="dcterms:W3CDTF">2025-11-04T14:37:24Z</dcterms:modified>
  <cp:category/>
  <cp:contentStatus/>
</cp:coreProperties>
</file>